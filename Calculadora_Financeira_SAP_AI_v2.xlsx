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missas &amp; Controle" sheetId="1" state="visible" r:id="rId1"/>
    <sheet xmlns:r="http://schemas.openxmlformats.org/officeDocument/2006/relationships" name="Calculadora 12 Meses" sheetId="2" state="visible" r:id="rId2"/>
    <sheet xmlns:r="http://schemas.openxmlformats.org/officeDocument/2006/relationships" name="Comparativo de Cenár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0"/>
    <numFmt numFmtId="165" formatCode="0.0000"/>
    <numFmt numFmtId="166" formatCode="0.0%"/>
    <numFmt numFmtId="167" formatCode="₹#,##0.00"/>
    <numFmt numFmtId="168" formatCode="R$ #,##0.00"/>
  </numFmts>
  <fonts count="9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E2E8F0"/>
      <sz val="9.5"/>
    </font>
    <font>
      <name val="Segoe UI"/>
      <b val="1"/>
      <color rgb="00003366"/>
      <sz val="11"/>
    </font>
    <font>
      <name val="Segoe UI"/>
      <b val="1"/>
      <color rgb="000F172A"/>
      <sz val="9.5"/>
    </font>
    <font>
      <name val="Segoe UI"/>
      <i val="1"/>
      <color rgb="0064748B"/>
      <sz val="8.5"/>
    </font>
    <font>
      <name val="Segoe UI"/>
      <b val="1"/>
      <color rgb="00047857"/>
      <sz val="9.5"/>
    </font>
    <font>
      <name val="Segoe UI"/>
      <color rgb="000F172A"/>
      <sz val="9.5"/>
    </font>
    <font>
      <name val="Segoe UI"/>
      <b val="1"/>
      <color rgb="00FFFFFF"/>
      <sz val="9.5"/>
    </font>
  </fonts>
  <fills count="8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EF9C3"/>
        <bgColor rgb="00FEF9C3"/>
      </patternFill>
    </fill>
    <fill>
      <patternFill patternType="solid">
        <fgColor rgb="001E293B"/>
        <bgColor rgb="001E293B"/>
      </patternFill>
    </fill>
    <fill>
      <patternFill patternType="solid">
        <fgColor rgb="000284C7"/>
        <bgColor rgb="000284C7"/>
      </patternFill>
    </fill>
    <fill>
      <patternFill patternType="solid">
        <fgColor rgb="00E2E8F0"/>
        <bgColor rgb="00E2E8F0"/>
      </patternFill>
    </fill>
    <fill>
      <patternFill patternType="solid">
        <fgColor rgb="00D1FAE5"/>
        <bgColor rgb="00D1FAE5"/>
      </patternFill>
    </fill>
  </fills>
  <borders count="4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94A3B8"/>
      </top>
      <bottom style="medium">
        <color rgb="0094A3B8"/>
      </bottom>
    </border>
    <border>
      <top style="thin">
        <color rgb="00CBD5E1"/>
      </top>
      <bottom style="double">
        <color rgb="00003366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164" fontId="4" fillId="3" borderId="1" applyAlignment="1" pivotButton="0" quotePrefix="0" xfId="0">
      <alignment horizontal="right" vertical="center"/>
    </xf>
    <xf numFmtId="0" fontId="5" fillId="0" borderId="0" pivotButton="0" quotePrefix="0" xfId="0"/>
    <xf numFmtId="165" fontId="4" fillId="3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6" fontId="4" fillId="3" borderId="1" applyAlignment="1" pivotButton="0" quotePrefix="0" xfId="0">
      <alignment horizontal="right" vertical="center"/>
    </xf>
    <xf numFmtId="0" fontId="7" fillId="0" borderId="0" pivotButton="0" quotePrefix="0" xfId="0"/>
    <xf numFmtId="3" fontId="4" fillId="3" borderId="1" applyAlignment="1" pivotButton="0" quotePrefix="0" xfId="0">
      <alignment horizontal="right" vertical="center"/>
    </xf>
    <xf numFmtId="167" fontId="6" fillId="0" borderId="1" applyAlignment="1" pivotButton="0" quotePrefix="0" xfId="0">
      <alignment horizontal="right" vertical="center"/>
    </xf>
    <xf numFmtId="164" fontId="6" fillId="0" borderId="0" pivotButton="0" quotePrefix="0" xfId="0"/>
    <xf numFmtId="0" fontId="8" fillId="4" borderId="2" applyAlignment="1" pivotButton="0" quotePrefix="0" xfId="0">
      <alignment horizontal="left" vertical="center"/>
    </xf>
    <xf numFmtId="0" fontId="8" fillId="4" borderId="2" applyAlignment="1" pivotButton="0" quotePrefix="0" xfId="0">
      <alignment horizontal="center" vertical="center"/>
    </xf>
    <xf numFmtId="0" fontId="8" fillId="5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right" vertical="center"/>
    </xf>
    <xf numFmtId="3" fontId="7" fillId="3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3" fontId="7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4" fontId="4" fillId="6" borderId="3" applyAlignment="1" pivotButton="0" quotePrefix="0" xfId="0">
      <alignment horizontal="right" vertical="center"/>
    </xf>
    <xf numFmtId="164" fontId="6" fillId="7" borderId="3" applyAlignment="1" pivotButton="0" quotePrefix="0" xfId="0">
      <alignment horizontal="right" vertical="center"/>
    </xf>
    <xf numFmtId="166" fontId="0" fillId="0" borderId="1" applyAlignment="1" pivotButton="0" quotePrefix="0" xfId="0">
      <alignment horizontal="right" vertical="center"/>
    </xf>
    <xf numFmtId="168" fontId="6" fillId="7" borderId="3" applyAlignment="1" pivotButton="0" quotePrefix="0" xfId="0">
      <alignment horizontal="right" vertical="center"/>
    </xf>
    <xf numFmtId="168" fontId="0" fillId="0" borderId="1" applyAlignment="1" pivotButton="0" quotePrefix="0" xfId="0">
      <alignment horizontal="right" vertical="center"/>
    </xf>
    <xf numFmtId="168" fontId="3" fillId="0" borderId="3" applyAlignment="1" pivotButton="0" quotePrefix="0" xfId="0">
      <alignment horizontal="right" vertical="center"/>
    </xf>
    <xf numFmtId="167" fontId="0" fillId="0" borderId="1" applyAlignment="1" pivotButton="0" quotePrefix="0" xfId="0">
      <alignment horizontal="right" vertical="center"/>
    </xf>
    <xf numFmtId="0" fontId="4" fillId="0" borderId="1" pivotButton="0" quotePrefix="0" xfId="0"/>
    <xf numFmtId="0" fontId="3" fillId="0" borderId="1" pivotButton="0" quotePrefix="0" xfId="0"/>
    <xf numFmtId="164" fontId="4" fillId="0" borderId="3" applyAlignment="1" pivotButton="0" quotePrefix="0" xfId="0">
      <alignment horizontal="right" vertical="center"/>
    </xf>
    <xf numFmtId="168" fontId="4" fillId="0" borderId="3" applyAlignment="1" pivotButton="0" quotePrefix="0" xfId="0">
      <alignment horizontal="right" vertical="center"/>
    </xf>
    <xf numFmtId="167" fontId="4" fillId="0" borderId="3" applyAlignment="1" pivotButton="0" quotePrefix="0" xfId="0">
      <alignment horizontal="right" vertical="center"/>
    </xf>
    <xf numFmtId="0" fontId="7" fillId="0" borderId="1" pivotButton="0" quotePrefix="0" xfId="0"/>
    <xf numFmtId="167" fontId="6" fillId="7" borderId="3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51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18" customWidth="1" min="3" max="3"/>
    <col width="62" customWidth="1" min="4" max="4"/>
    <col width="12" customWidth="1" min="5" max="5"/>
  </cols>
  <sheetData>
    <row r="2" ht="34" customHeight="1">
      <c r="B2" s="1" t="inlineStr">
        <is>
          <t>PAINEL DE PREMISSAS, CÂMBIO &amp; ARQUITETURA (RAILWAY + CREWAI + DEEPSEEK FLASH V4)</t>
        </is>
      </c>
    </row>
    <row r="3" ht="20" customHeight="1">
      <c r="B3" s="2" t="inlineStr">
        <is>
          <t>Altere as células amarelas para atualizar dinamicamente todas as projeções, conversores e cenários comparativos.</t>
        </is>
      </c>
    </row>
    <row r="5">
      <c r="B5" s="3" t="inlineStr">
        <is>
          <t>1. CONVERSORES DE MOEDA (USD, BRL &amp; INR)</t>
        </is>
      </c>
    </row>
    <row r="6">
      <c r="B6" s="4" t="inlineStr">
        <is>
          <t>Câmbio Dólar / Real (USD / BRL)</t>
        </is>
      </c>
      <c r="C6" s="5" t="n">
        <v>5.5</v>
      </c>
      <c r="D6" s="6" t="inlineStr">
        <is>
          <t>Cotação do Dólar em Reais (R$)</t>
        </is>
      </c>
    </row>
    <row r="7">
      <c r="B7" s="4" t="inlineStr">
        <is>
          <t>Câmbio Dólar / Rúpia Indiana (USD / INR)</t>
        </is>
      </c>
      <c r="C7" s="7" t="n">
        <v>83.5</v>
      </c>
      <c r="D7" s="6" t="inlineStr">
        <is>
          <t>Cotação do Dólar em Rúpias Indianas (₹ INR)</t>
        </is>
      </c>
    </row>
    <row r="8">
      <c r="B8" s="4" t="inlineStr">
        <is>
          <t>Inverso: Câmbio Real / Dólar (BRL / USD)</t>
        </is>
      </c>
      <c r="C8" s="8">
        <f>1/C6</f>
        <v/>
      </c>
      <c r="D8" s="6" t="inlineStr">
        <is>
          <t>Fórmula: 1 / (USD/BRL)</t>
        </is>
      </c>
    </row>
    <row r="9">
      <c r="B9" s="4" t="inlineStr">
        <is>
          <t>Inverso: Câmbio Rúpia / Dólar (INR / USD)</t>
        </is>
      </c>
      <c r="C9" s="9">
        <f>1/C7</f>
        <v/>
      </c>
      <c r="D9" s="6" t="inlineStr">
        <is>
          <t>Fórmula: 1 / (USD/INR)</t>
        </is>
      </c>
    </row>
    <row r="10">
      <c r="B10" s="4" t="inlineStr">
        <is>
          <t>Taxa de Impostos / Retenção Efetiva (Brasil)</t>
        </is>
      </c>
      <c r="C10" s="10" t="n">
        <v>0.08</v>
      </c>
      <c r="D10" s="6" t="inlineStr">
        <is>
          <t>Alíquota estimada Simples/Lucro Presumido para exportação</t>
        </is>
      </c>
    </row>
    <row r="12">
      <c r="B12" s="3" t="inlineStr">
        <is>
          <t>2. APPS MÓVEIS (SUÍTE 6 APPS E-LEARNING SAP)</t>
        </is>
      </c>
    </row>
    <row r="13">
      <c r="B13" s="11" t="inlineStr">
        <is>
          <t>Razão P.A. de Usuários por App / Mês</t>
        </is>
      </c>
      <c r="C13" s="12" t="n">
        <v>500</v>
      </c>
      <c r="D13" s="6" t="inlineStr">
        <is>
          <t>Novos downloads mensais por app via Google Ads</t>
        </is>
      </c>
    </row>
    <row r="14">
      <c r="B14" s="11" t="inlineStr">
        <is>
          <t>Razão P.A. de Assinantes Pagantes por App / Mês</t>
        </is>
      </c>
      <c r="C14" s="12" t="n">
        <v>5</v>
      </c>
      <c r="D14" s="6" t="inlineStr">
        <is>
          <t>Novos assinantes de $9/mês (1% de conversão)</t>
        </is>
      </c>
    </row>
    <row r="15">
      <c r="B15" s="11" t="inlineStr">
        <is>
          <t>Preço Assinatura Mobile ($ USD)</t>
        </is>
      </c>
      <c r="C15" s="5" t="n">
        <v>9</v>
      </c>
      <c r="D15" s="6" t="inlineStr">
        <is>
          <t>Valor da assinatura mensal no Google Play</t>
        </is>
      </c>
    </row>
    <row r="16">
      <c r="B16" s="11" t="inlineStr">
        <is>
          <t>Preço Equivalente em Rúpias Indianas (₹ INR)</t>
        </is>
      </c>
      <c r="C16" s="13">
        <f>C15*C7</f>
        <v/>
      </c>
      <c r="D16" s="6" t="inlineStr">
        <is>
          <t>Fórmula dinâmica: Preço USD * Câmbio USD/INR</t>
        </is>
      </c>
    </row>
    <row r="17">
      <c r="B17" s="11" t="inlineStr">
        <is>
          <t>Comissão Google Play Store</t>
        </is>
      </c>
      <c r="C17" s="10" t="n">
        <v>0.15</v>
      </c>
      <c r="D17" s="6" t="inlineStr">
        <is>
          <t>Taxa Google Play até $1M anual</t>
        </is>
      </c>
    </row>
    <row r="18">
      <c r="B18" s="11" t="inlineStr">
        <is>
          <t>Proporção Tráfego - Índia (%)</t>
        </is>
      </c>
      <c r="C18" s="10" t="n">
        <v>0.97</v>
      </c>
      <c r="D18" s="6" t="inlineStr">
        <is>
          <t>Percentual de usuários indianos</t>
        </is>
      </c>
    </row>
    <row r="19">
      <c r="B19" s="11" t="inlineStr">
        <is>
          <t>Proporção Tráfego - EUA (%)</t>
        </is>
      </c>
      <c r="C19" s="10" t="n">
        <v>0.03</v>
      </c>
      <c r="D19" s="6" t="inlineStr">
        <is>
          <t>Percentual de usuários dos EUA</t>
        </is>
      </c>
    </row>
    <row r="20">
      <c r="B20" s="11" t="inlineStr">
        <is>
          <t>eCPM Intersticial - Índia ($)</t>
        </is>
      </c>
      <c r="C20" s="5" t="n">
        <v>0.95</v>
      </c>
      <c r="D20" s="6" t="inlineStr">
        <is>
          <t>Valor por 1.000 exibições na Índia</t>
        </is>
      </c>
    </row>
    <row r="21">
      <c r="B21" s="11" t="inlineStr">
        <is>
          <t>eCPM Intersticial - EUA ($)</t>
        </is>
      </c>
      <c r="C21" s="5" t="n">
        <v>10.5</v>
      </c>
      <c r="D21" s="6" t="inlineStr">
        <is>
          <t>Valor por 1.000 exibições nos EUA</t>
        </is>
      </c>
    </row>
    <row r="22">
      <c r="B22" s="11" t="inlineStr">
        <is>
          <t>eCPM Banner - Índia ($)</t>
        </is>
      </c>
      <c r="C22" s="5" t="n">
        <v>0.12</v>
      </c>
      <c r="D22" s="6" t="inlineStr">
        <is>
          <t>Valor por 1.000 impressões na Índia</t>
        </is>
      </c>
    </row>
    <row r="23">
      <c r="B23" s="11" t="inlineStr">
        <is>
          <t>eCPM Banner - EUA ($)</t>
        </is>
      </c>
      <c r="C23" s="5" t="n">
        <v>1.35</v>
      </c>
      <c r="D23" s="6" t="inlineStr">
        <is>
          <t>Valor por 1.000 impressões nos EUA</t>
        </is>
      </c>
    </row>
    <row r="24">
      <c r="B24" s="11" t="inlineStr">
        <is>
          <t>CPI Médio Google Ads - Índia ($)</t>
        </is>
      </c>
      <c r="C24" s="5" t="n">
        <v>0.09</v>
      </c>
      <c r="D24" s="6" t="inlineStr">
        <is>
          <t>Custo por instalação na Índia</t>
        </is>
      </c>
    </row>
    <row r="25">
      <c r="B25" s="11" t="inlineStr">
        <is>
          <t>CPI Médio Google Ads - EUA ($)</t>
        </is>
      </c>
      <c r="C25" s="5" t="n">
        <v>2.2</v>
      </c>
      <c r="D25" s="6" t="inlineStr">
        <is>
          <t>Custo por instalação nos EUA</t>
        </is>
      </c>
    </row>
    <row r="26">
      <c r="B26" s="11" t="inlineStr">
        <is>
          <t>Impressões Intersticial / Usuário Free / Mês</t>
        </is>
      </c>
      <c r="C26" s="12" t="n">
        <v>56</v>
      </c>
      <c r="D26" s="6" t="inlineStr">
        <is>
          <t>4 exibições a cada 90s em 14 sessões ativas</t>
        </is>
      </c>
    </row>
    <row r="27">
      <c r="B27" s="11" t="inlineStr">
        <is>
          <t>Impressões Banner / Usuário Free / Mês</t>
        </is>
      </c>
      <c r="C27" s="12" t="n">
        <v>154</v>
      </c>
      <c r="D27" s="6" t="inlineStr">
        <is>
          <t>11 exibições em 14 sessões ativas</t>
        </is>
      </c>
    </row>
    <row r="28">
      <c r="B28" s="11" t="inlineStr">
        <is>
          <t>Custo IA DeepSeek Flash V4 por Usuário Mobile ($)</t>
        </is>
      </c>
      <c r="C28" s="7" t="n">
        <v>0.018</v>
      </c>
      <c r="D28" s="6" t="inlineStr">
        <is>
          <t>Perguntas de e-learning no DeepSeek Flash V4</t>
        </is>
      </c>
    </row>
    <row r="30">
      <c r="B30" s="4" t="inlineStr">
        <is>
          <t>eCPM Intersticial Ponderado (Blended $)</t>
        </is>
      </c>
      <c r="C30" s="14">
        <f>C18*C20 + C19*C21</f>
        <v/>
      </c>
      <c r="D30" t="inlineStr">
        <is>
          <t>Fórmula: (% Índia * eCPM Índia) + (% EUA * eCPM EUA)</t>
        </is>
      </c>
    </row>
    <row r="31">
      <c r="B31" s="4" t="inlineStr">
        <is>
          <t>eCPM Banner Ponderado (Blended $)</t>
        </is>
      </c>
      <c r="C31" s="14">
        <f>C18*C22 + C19*C23</f>
        <v/>
      </c>
      <c r="D31" t="inlineStr">
        <is>
          <t>Fórmula: (% Índia * Banner Índia) + (% EUA * Banner EUA)</t>
        </is>
      </c>
    </row>
    <row r="32">
      <c r="B32" s="4" t="inlineStr">
        <is>
          <t>ARPU Mensal de Ads por Usuário Free ($)</t>
        </is>
      </c>
      <c r="C32" s="14">
        <f>(C26/1000)*C30 + (C27/1000)*C31</f>
        <v/>
      </c>
      <c r="D32" t="inlineStr">
        <is>
          <t>Receita mensal que cada usuário gratuito mobile gera em anúncios</t>
        </is>
      </c>
    </row>
    <row r="33">
      <c r="B33" s="4" t="inlineStr">
        <is>
          <t>CPI Blended Google Ads ($)</t>
        </is>
      </c>
      <c r="C33" s="14">
        <f>C18*C24 + C19*C25</f>
        <v/>
      </c>
      <c r="D33" t="inlineStr">
        <is>
          <t>Custo médio ponderado por download mobile</t>
        </is>
      </c>
    </row>
    <row r="35">
      <c r="B35" s="3" t="inlineStr">
        <is>
          <t>3. COPILOT WINDOWS (PORTABLE, CREWAI NO RAILWAY &amp; PLANO FREE)</t>
        </is>
      </c>
    </row>
    <row r="36">
      <c r="B36" s="11" t="inlineStr">
        <is>
          <t>Preço Assinatura - Índia ($ USD)</t>
        </is>
      </c>
      <c r="C36" s="5" t="n">
        <v>7</v>
      </c>
      <c r="D36" s="6" t="inlineStr">
        <is>
          <t>Preço planejado para o mercado indiano</t>
        </is>
      </c>
    </row>
    <row r="37">
      <c r="B37" s="11" t="inlineStr">
        <is>
          <t>Preço Assinatura Índia em Rúpias (₹ INR)</t>
        </is>
      </c>
      <c r="C37" s="13">
        <f>C36*C7</f>
        <v/>
      </c>
      <c r="D37" s="6" t="inlineStr">
        <is>
          <t>Fórmula dinâmica: $7 * Câmbio USD/INR (~₹584 INR)</t>
        </is>
      </c>
    </row>
    <row r="38">
      <c r="B38" s="11" t="inlineStr">
        <is>
          <t>Preço Assinatura - Europa/EUA Pro ($ USD)</t>
        </is>
      </c>
      <c r="C38" s="5" t="n">
        <v>15</v>
      </c>
      <c r="D38" s="6" t="inlineStr">
        <is>
          <t>Plano profissional para consultores seniores</t>
        </is>
      </c>
    </row>
    <row r="39">
      <c r="B39" s="11" t="inlineStr">
        <is>
          <t>Preço Assinatura - Europa/EUA Power ($ USD)</t>
        </is>
      </c>
      <c r="C39" s="5" t="n">
        <v>25</v>
      </c>
      <c r="D39" s="6" t="inlineStr">
        <is>
          <t>Plano power para alta intensidade de agentes</t>
        </is>
      </c>
    </row>
    <row r="40">
      <c r="B40" s="11" t="inlineStr">
        <is>
          <t>Tíquete Médio Ponderado Ocidental ($ USD)</t>
        </is>
      </c>
      <c r="C40" s="5" t="n">
        <v>18.5</v>
      </c>
      <c r="D40" s="6" t="inlineStr">
        <is>
          <t>Mix 65% Pro ($15) e 35% Power ($25)</t>
        </is>
      </c>
    </row>
    <row r="41">
      <c r="B41" s="11" t="inlineStr">
        <is>
          <t>Taxa Processamento Stripe/Paddle</t>
        </is>
      </c>
      <c r="C41" s="10" t="n">
        <v>0.04</v>
      </c>
      <c r="D41" s="6" t="inlineStr">
        <is>
          <t>Taxa de gateway de pagamento para software Windows</t>
        </is>
      </c>
    </row>
    <row r="42">
      <c r="B42" s="11" t="inlineStr">
        <is>
          <t>Custo IA DeepSeek Flash V4 por Tarefa CrewAI ($)</t>
        </is>
      </c>
      <c r="C42" s="7" t="n">
        <v>0.0005999999999999999</v>
      </c>
      <c r="D42" s="6" t="inlineStr">
        <is>
          <t>Pipeline multi-agente CrewAI (Análise + Sintaxe + Doc)</t>
        </is>
      </c>
    </row>
    <row r="43">
      <c r="B43" s="11" t="inlineStr">
        <is>
          <t>Custo Mensal por Usuário Desktop Free ($)</t>
        </is>
      </c>
      <c r="C43" s="7" t="n">
        <v>0.035</v>
      </c>
      <c r="D43" s="6" t="inlineStr">
        <is>
          <t>Cota diária limitada no Plano Gratuito (DeepSeek Flash V4)</t>
        </is>
      </c>
    </row>
    <row r="44">
      <c r="B44" s="11" t="inlineStr">
        <is>
          <t>Monetização / ARPU Mensal do Usuário Desktop Free ($)</t>
        </is>
      </c>
      <c r="C44" s="5" t="n">
        <v>0.08</v>
      </c>
      <c r="D44" s="6" t="inlineStr">
        <is>
          <t>Parcerias/Sponsored jobs/Ads discretos no Desktop Free</t>
        </is>
      </c>
    </row>
    <row r="45">
      <c r="B45" s="11" t="inlineStr">
        <is>
          <t>Custo Base Railway Inicial (Containers CrewAI)</t>
        </is>
      </c>
      <c r="C45" s="5" t="n">
        <v>20</v>
      </c>
      <c r="D45" s="6" t="inlineStr">
        <is>
          <t>Plano de containers Docker no Railway</t>
        </is>
      </c>
    </row>
    <row r="47">
      <c r="B47" s="3" t="inlineStr">
        <is>
          <t>4. EXTENSÃO GOOGLE CHROME 'LIGHT'</t>
        </is>
      </c>
    </row>
    <row r="48">
      <c r="B48" s="11" t="inlineStr">
        <is>
          <t>Preço Plano Índia Light ($ USD)</t>
        </is>
      </c>
      <c r="C48" s="5" t="n">
        <v>4</v>
      </c>
      <c r="D48" s="6" t="inlineStr">
        <is>
          <t>Assinatura econômica no navegador</t>
        </is>
      </c>
    </row>
    <row r="49">
      <c r="B49" s="11" t="inlineStr">
        <is>
          <t>Preço Plano Índia Light em Rúpias (₹ INR)</t>
        </is>
      </c>
      <c r="C49" s="13">
        <f>C48*C7</f>
        <v/>
      </c>
      <c r="D49" s="6" t="inlineStr">
        <is>
          <t>Fórmula dinâmica: $4 * Câmbio USD/INR (~₹334 INR)</t>
        </is>
      </c>
    </row>
    <row r="50">
      <c r="B50" s="11" t="inlineStr">
        <is>
          <t>Preço Plano Global Light ($ USD)</t>
        </is>
      </c>
      <c r="C50" s="5" t="n">
        <v>8</v>
      </c>
      <c r="D50" s="6" t="inlineStr">
        <is>
          <t>Assinatura global (€7,50 / $11 CAD)</t>
        </is>
      </c>
    </row>
    <row r="51">
      <c r="B51" s="11" t="inlineStr">
        <is>
          <t>Receita de Ads por Usuário Chrome Free / Mês ($)</t>
        </is>
      </c>
      <c r="C51" s="5" t="n">
        <v>0.12</v>
      </c>
      <c r="D51" s="6" t="inlineStr">
        <is>
          <t>Banners e sponsored links no Side Panel</t>
        </is>
      </c>
    </row>
  </sheetData>
  <mergeCells count="2">
    <mergeCell ref="B3:G3"/>
    <mergeCell ref="B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O33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2" ht="34" customHeight="1">
      <c r="B2" s="1" t="inlineStr">
        <is>
          <t>SIMULADOR FINANCEIRO MÊS A MÊS - ECOSSISTEMA SAP AI (RAILWAY + CREWAI + DEEPSEEK FLASH V4)</t>
        </is>
      </c>
    </row>
    <row r="4" ht="25" customHeight="1">
      <c r="B4" s="15" t="inlineStr">
        <is>
          <t>Métrica / Linha de Demonstração</t>
        </is>
      </c>
      <c r="C4" s="16" t="inlineStr">
        <is>
          <t>M1</t>
        </is>
      </c>
      <c r="D4" s="16" t="inlineStr">
        <is>
          <t>M2</t>
        </is>
      </c>
      <c r="E4" s="16" t="inlineStr">
        <is>
          <t>M3</t>
        </is>
      </c>
      <c r="F4" s="16" t="inlineStr">
        <is>
          <t>M4</t>
        </is>
      </c>
      <c r="G4" s="16" t="inlineStr">
        <is>
          <t>M5</t>
        </is>
      </c>
      <c r="H4" s="16" t="inlineStr">
        <is>
          <t>M6</t>
        </is>
      </c>
      <c r="I4" s="16" t="inlineStr">
        <is>
          <t>M7</t>
        </is>
      </c>
      <c r="J4" s="16" t="inlineStr">
        <is>
          <t>M8</t>
        </is>
      </c>
      <c r="K4" s="16" t="inlineStr">
        <is>
          <t>M9</t>
        </is>
      </c>
      <c r="L4" s="16" t="inlineStr">
        <is>
          <t>M10</t>
        </is>
      </c>
      <c r="M4" s="16" t="inlineStr">
        <is>
          <t>M11</t>
        </is>
      </c>
      <c r="N4" s="16" t="inlineStr">
        <is>
          <t>M12</t>
        </is>
      </c>
      <c r="O4" s="16" t="inlineStr">
        <is>
          <t>TOTAL ANO 1</t>
        </is>
      </c>
    </row>
    <row r="5" ht="20" customHeight="1">
      <c r="B5" s="17" t="inlineStr">
        <is>
          <t>1. BASE DE USUÁRIOS E CLIENTES (UNIDADES)</t>
        </is>
      </c>
    </row>
    <row r="6">
      <c r="B6" s="11" t="inlineStr">
        <is>
          <t>Apps Móveis Ativos na Suíte</t>
        </is>
      </c>
      <c r="C6" s="18" t="n">
        <v>1</v>
      </c>
      <c r="D6" s="18" t="n">
        <v>3</v>
      </c>
      <c r="E6" s="18" t="n">
        <v>6</v>
      </c>
      <c r="F6" s="18" t="n">
        <v>6</v>
      </c>
      <c r="G6" s="18" t="n">
        <v>6</v>
      </c>
      <c r="H6" s="18" t="n">
        <v>6</v>
      </c>
      <c r="I6" s="18" t="n">
        <v>6</v>
      </c>
      <c r="J6" s="18" t="n">
        <v>6</v>
      </c>
      <c r="K6" s="18" t="n">
        <v>6</v>
      </c>
      <c r="L6" s="18" t="n">
        <v>6</v>
      </c>
      <c r="M6" s="18" t="n">
        <v>6</v>
      </c>
      <c r="N6" s="18" t="n">
        <v>6</v>
      </c>
      <c r="O6" s="18" t="n">
        <v>6</v>
      </c>
    </row>
    <row r="7">
      <c r="B7" s="11" t="inlineStr">
        <is>
          <t>Usuários Ativos Mobile Totais (MAU)</t>
        </is>
      </c>
      <c r="C7" s="19">
        <f>C6*'Premissas &amp; Controle'!$C$13</f>
        <v/>
      </c>
      <c r="D7" s="19">
        <f>C7 + D6*'Premissas &amp; Controle'!$C$13</f>
        <v/>
      </c>
      <c r="E7" s="19">
        <f>D7 + E6*'Premissas &amp; Controle'!$C$13</f>
        <v/>
      </c>
      <c r="F7" s="19">
        <f>E7 + F6*'Premissas &amp; Controle'!$C$13</f>
        <v/>
      </c>
      <c r="G7" s="19">
        <f>F7 + G6*'Premissas &amp; Controle'!$C$13</f>
        <v/>
      </c>
      <c r="H7" s="19">
        <f>G7 + H6*'Premissas &amp; Controle'!$C$13</f>
        <v/>
      </c>
      <c r="I7" s="19">
        <f>H7 + I6*'Premissas &amp; Controle'!$C$13</f>
        <v/>
      </c>
      <c r="J7" s="19">
        <f>I7 + J6*'Premissas &amp; Controle'!$C$13</f>
        <v/>
      </c>
      <c r="K7" s="19">
        <f>J7 + K6*'Premissas &amp; Controle'!$C$13</f>
        <v/>
      </c>
      <c r="L7" s="19">
        <f>K7 + L6*'Premissas &amp; Controle'!$C$13</f>
        <v/>
      </c>
      <c r="M7" s="19">
        <f>L7 + M6*'Premissas &amp; Controle'!$C$13</f>
        <v/>
      </c>
      <c r="N7" s="19">
        <f>M7 + N6*'Premissas &amp; Controle'!$C$13</f>
        <v/>
      </c>
      <c r="O7" s="19">
        <f>N7</f>
        <v/>
      </c>
    </row>
    <row r="8">
      <c r="B8" s="11" t="inlineStr">
        <is>
          <t>Assinantes Mobile Pagantes ($9/mês)</t>
        </is>
      </c>
      <c r="C8" s="19">
        <f>C6*'Premissas &amp; Controle'!$C$14</f>
        <v/>
      </c>
      <c r="D8" s="19">
        <f>C8 + D6*'Premissas &amp; Controle'!$C$14</f>
        <v/>
      </c>
      <c r="E8" s="19">
        <f>D8 + E6*'Premissas &amp; Controle'!$C$14</f>
        <v/>
      </c>
      <c r="F8" s="19">
        <f>E8 + F6*'Premissas &amp; Controle'!$C$14</f>
        <v/>
      </c>
      <c r="G8" s="19">
        <f>F8 + G6*'Premissas &amp; Controle'!$C$14</f>
        <v/>
      </c>
      <c r="H8" s="19">
        <f>G8 + H6*'Premissas &amp; Controle'!$C$14</f>
        <v/>
      </c>
      <c r="I8" s="19">
        <f>H8 + I6*'Premissas &amp; Controle'!$C$14</f>
        <v/>
      </c>
      <c r="J8" s="19">
        <f>I8 + J6*'Premissas &amp; Controle'!$C$14</f>
        <v/>
      </c>
      <c r="K8" s="19">
        <f>J8 + K6*'Premissas &amp; Controle'!$C$14</f>
        <v/>
      </c>
      <c r="L8" s="19">
        <f>K8 + L6*'Premissas &amp; Controle'!$C$14</f>
        <v/>
      </c>
      <c r="M8" s="19">
        <f>L8 + M6*'Premissas &amp; Controle'!$C$14</f>
        <v/>
      </c>
      <c r="N8" s="19">
        <f>M8 + N6*'Premissas &amp; Controle'!$C$14</f>
        <v/>
      </c>
      <c r="O8" s="19">
        <f>N8</f>
        <v/>
      </c>
    </row>
    <row r="9">
      <c r="B9" s="11" t="inlineStr">
        <is>
          <t>Usuários Ativos Copilot Desktop - PLANO FREE</t>
        </is>
      </c>
      <c r="C9" s="20" t="n">
        <v>150</v>
      </c>
      <c r="D9" s="20" t="n">
        <v>400</v>
      </c>
      <c r="E9" s="20" t="n">
        <v>800</v>
      </c>
      <c r="F9" s="20" t="n">
        <v>1400</v>
      </c>
      <c r="G9" s="20" t="n">
        <v>2200</v>
      </c>
      <c r="H9" s="20" t="n">
        <v>3200</v>
      </c>
      <c r="I9" s="20" t="n">
        <v>4200</v>
      </c>
      <c r="J9" s="20" t="n">
        <v>5200</v>
      </c>
      <c r="K9" s="20" t="n">
        <v>6100</v>
      </c>
      <c r="L9" s="20" t="n">
        <v>6800</v>
      </c>
      <c r="M9" s="20" t="n">
        <v>7400</v>
      </c>
      <c r="N9" s="20" t="n">
        <v>8000</v>
      </c>
      <c r="O9" s="19">
        <f>N9</f>
        <v/>
      </c>
    </row>
    <row r="10">
      <c r="B10" s="4" t="inlineStr">
        <is>
          <t>Assinantes Copilot Windows Desktop (Pagantes)</t>
        </is>
      </c>
      <c r="C10" s="12" t="n">
        <v>35</v>
      </c>
      <c r="D10" s="12" t="n">
        <v>80</v>
      </c>
      <c r="E10" s="12" t="n">
        <v>160</v>
      </c>
      <c r="F10" s="12" t="n">
        <v>260</v>
      </c>
      <c r="G10" s="12" t="n">
        <v>400</v>
      </c>
      <c r="H10" s="12" t="n">
        <v>600</v>
      </c>
      <c r="I10" s="12" t="n">
        <v>800</v>
      </c>
      <c r="J10" s="12" t="n">
        <v>1000</v>
      </c>
      <c r="K10" s="12" t="n">
        <v>1200</v>
      </c>
      <c r="L10" s="12" t="n">
        <v>1350</v>
      </c>
      <c r="M10" s="12" t="n">
        <v>1500</v>
      </c>
      <c r="N10" s="12" t="n">
        <v>1600</v>
      </c>
      <c r="O10" s="21">
        <f>N10</f>
        <v/>
      </c>
    </row>
    <row r="11">
      <c r="B11" s="11" t="inlineStr">
        <is>
          <t>Assinantes Extensão Chrome Light</t>
        </is>
      </c>
      <c r="C11" s="22" t="n">
        <v>5</v>
      </c>
      <c r="D11" s="22" t="n">
        <v>15</v>
      </c>
      <c r="E11" s="22" t="n">
        <v>30</v>
      </c>
      <c r="F11" s="22" t="n">
        <v>50</v>
      </c>
      <c r="G11" s="22" t="n">
        <v>80</v>
      </c>
      <c r="H11" s="22" t="n">
        <v>110</v>
      </c>
      <c r="I11" s="22" t="n">
        <v>140</v>
      </c>
      <c r="J11" s="22" t="n">
        <v>170</v>
      </c>
      <c r="K11" s="22" t="n">
        <v>195</v>
      </c>
      <c r="L11" s="22" t="n">
        <v>220</v>
      </c>
      <c r="M11" s="22" t="n">
        <v>235</v>
      </c>
      <c r="N11" s="22" t="n">
        <v>250</v>
      </c>
      <c r="O11" s="19">
        <f>N11</f>
        <v/>
      </c>
    </row>
    <row r="12" ht="20" customHeight="1">
      <c r="B12" s="17" t="inlineStr">
        <is>
          <t>2. RECEITAS BRUTAS CONSOLIDADAS (USD $)</t>
        </is>
      </c>
    </row>
    <row r="13">
      <c r="B13" s="11" t="inlineStr">
        <is>
          <t>Receita de Anúncios Mobile (AdMob)</t>
        </is>
      </c>
      <c r="C13" s="23">
        <f>(C7 - C8) * 'Premissas &amp; Controle'!$C$32</f>
        <v/>
      </c>
      <c r="D13" s="23">
        <f>(D7 - D8) * 'Premissas &amp; Controle'!$C$32</f>
        <v/>
      </c>
      <c r="E13" s="23">
        <f>(E7 - E8) * 'Premissas &amp; Controle'!$C$32</f>
        <v/>
      </c>
      <c r="F13" s="23">
        <f>(F7 - F8) * 'Premissas &amp; Controle'!$C$32</f>
        <v/>
      </c>
      <c r="G13" s="23">
        <f>(G7 - G8) * 'Premissas &amp; Controle'!$C$32</f>
        <v/>
      </c>
      <c r="H13" s="23">
        <f>(H7 - H8) * 'Premissas &amp; Controle'!$C$32</f>
        <v/>
      </c>
      <c r="I13" s="23">
        <f>(I7 - I8) * 'Premissas &amp; Controle'!$C$32</f>
        <v/>
      </c>
      <c r="J13" s="23">
        <f>(J7 - J8) * 'Premissas &amp; Controle'!$C$32</f>
        <v/>
      </c>
      <c r="K13" s="23">
        <f>(K7 - K8) * 'Premissas &amp; Controle'!$C$32</f>
        <v/>
      </c>
      <c r="L13" s="23">
        <f>(L7 - L8) * 'Premissas &amp; Controle'!$C$32</f>
        <v/>
      </c>
      <c r="M13" s="23">
        <f>(M7 - M8) * 'Premissas &amp; Controle'!$C$32</f>
        <v/>
      </c>
      <c r="N13" s="23">
        <f>(N7 - N8) * 'Premissas &amp; Controle'!$C$32</f>
        <v/>
      </c>
      <c r="O13" s="24">
        <f>SUM(C13:N13)</f>
        <v/>
      </c>
    </row>
    <row r="14">
      <c r="B14" s="11" t="inlineStr">
        <is>
          <t>Receita Assinaturas Mobile Líquida (85%)</t>
        </is>
      </c>
      <c r="C14" s="23">
        <f>C8 * 'Premissas &amp; Controle'!$C$15 * (1 - 'Premissas &amp; Controle'!$C$17)</f>
        <v/>
      </c>
      <c r="D14" s="23">
        <f>D8 * 'Premissas &amp; Controle'!$C$15 * (1 - 'Premissas &amp; Controle'!$C$17)</f>
        <v/>
      </c>
      <c r="E14" s="23">
        <f>E8 * 'Premissas &amp; Controle'!$C$15 * (1 - 'Premissas &amp; Controle'!$C$17)</f>
        <v/>
      </c>
      <c r="F14" s="23">
        <f>F8 * 'Premissas &amp; Controle'!$C$15 * (1 - 'Premissas &amp; Controle'!$C$17)</f>
        <v/>
      </c>
      <c r="G14" s="23">
        <f>G8 * 'Premissas &amp; Controle'!$C$15 * (1 - 'Premissas &amp; Controle'!$C$17)</f>
        <v/>
      </c>
      <c r="H14" s="23">
        <f>H8 * 'Premissas &amp; Controle'!$C$15 * (1 - 'Premissas &amp; Controle'!$C$17)</f>
        <v/>
      </c>
      <c r="I14" s="23">
        <f>I8 * 'Premissas &amp; Controle'!$C$15 * (1 - 'Premissas &amp; Controle'!$C$17)</f>
        <v/>
      </c>
      <c r="J14" s="23">
        <f>J8 * 'Premissas &amp; Controle'!$C$15 * (1 - 'Premissas &amp; Controle'!$C$17)</f>
        <v/>
      </c>
      <c r="K14" s="23">
        <f>K8 * 'Premissas &amp; Controle'!$C$15 * (1 - 'Premissas &amp; Controle'!$C$17)</f>
        <v/>
      </c>
      <c r="L14" s="23">
        <f>L8 * 'Premissas &amp; Controle'!$C$15 * (1 - 'Premissas &amp; Controle'!$C$17)</f>
        <v/>
      </c>
      <c r="M14" s="23">
        <f>M8 * 'Premissas &amp; Controle'!$C$15 * (1 - 'Premissas &amp; Controle'!$C$17)</f>
        <v/>
      </c>
      <c r="N14" s="23">
        <f>N8 * 'Premissas &amp; Controle'!$C$15 * (1 - 'Premissas &amp; Controle'!$C$17)</f>
        <v/>
      </c>
      <c r="O14" s="24">
        <f>SUM(C14:N14)</f>
        <v/>
      </c>
    </row>
    <row r="15">
      <c r="B15" s="4" t="inlineStr">
        <is>
          <t>Receita Copilot Windows Desktop (Assinaturas)</t>
        </is>
      </c>
      <c r="C15" s="24">
        <f>C10 * (0.625*'Premissas &amp; Controle'!$C$36 + 0.375*'Premissas &amp; Controle'!$C$40)</f>
        <v/>
      </c>
      <c r="D15" s="24">
        <f>D10 * (0.625*'Premissas &amp; Controle'!$C$36 + 0.375*'Premissas &amp; Controle'!$C$40)</f>
        <v/>
      </c>
      <c r="E15" s="24">
        <f>E10 * (0.625*'Premissas &amp; Controle'!$C$36 + 0.375*'Premissas &amp; Controle'!$C$40)</f>
        <v/>
      </c>
      <c r="F15" s="24">
        <f>F10 * (0.625*'Premissas &amp; Controle'!$C$36 + 0.375*'Premissas &amp; Controle'!$C$40)</f>
        <v/>
      </c>
      <c r="G15" s="24">
        <f>G10 * (0.625*'Premissas &amp; Controle'!$C$36 + 0.375*'Premissas &amp; Controle'!$C$40)</f>
        <v/>
      </c>
      <c r="H15" s="24">
        <f>H10 * (0.625*'Premissas &amp; Controle'!$C$36 + 0.375*'Premissas &amp; Controle'!$C$40)</f>
        <v/>
      </c>
      <c r="I15" s="24">
        <f>I10 * (0.625*'Premissas &amp; Controle'!$C$36 + 0.375*'Premissas &amp; Controle'!$C$40)</f>
        <v/>
      </c>
      <c r="J15" s="24">
        <f>J10 * (0.625*'Premissas &amp; Controle'!$C$36 + 0.375*'Premissas &amp; Controle'!$C$40)</f>
        <v/>
      </c>
      <c r="K15" s="24">
        <f>K10 * (0.625*'Premissas &amp; Controle'!$C$36 + 0.375*'Premissas &amp; Controle'!$C$40)</f>
        <v/>
      </c>
      <c r="L15" s="24">
        <f>L10 * (0.625*'Premissas &amp; Controle'!$C$36 + 0.375*'Premissas &amp; Controle'!$C$40)</f>
        <v/>
      </c>
      <c r="M15" s="24">
        <f>M10 * (0.625*'Premissas &amp; Controle'!$C$36 + 0.375*'Premissas &amp; Controle'!$C$40)</f>
        <v/>
      </c>
      <c r="N15" s="24">
        <f>N10 * (0.625*'Premissas &amp; Controle'!$C$36 + 0.375*'Premissas &amp; Controle'!$C$40)</f>
        <v/>
      </c>
      <c r="O15" s="24">
        <f>SUM(C15:N15)</f>
        <v/>
      </c>
    </row>
    <row r="16">
      <c r="B16" s="11" t="inlineStr">
        <is>
          <t>Receita Copilot Desktop Free (Parcerias / Ads)</t>
        </is>
      </c>
      <c r="C16" s="23">
        <f>C9 * 'Premissas &amp; Controle'!$C$44</f>
        <v/>
      </c>
      <c r="D16" s="23">
        <f>D9 * 'Premissas &amp; Controle'!$C$44</f>
        <v/>
      </c>
      <c r="E16" s="23">
        <f>E9 * 'Premissas &amp; Controle'!$C$44</f>
        <v/>
      </c>
      <c r="F16" s="23">
        <f>F9 * 'Premissas &amp; Controle'!$C$44</f>
        <v/>
      </c>
      <c r="G16" s="23">
        <f>G9 * 'Premissas &amp; Controle'!$C$44</f>
        <v/>
      </c>
      <c r="H16" s="23">
        <f>H9 * 'Premissas &amp; Controle'!$C$44</f>
        <v/>
      </c>
      <c r="I16" s="23">
        <f>I9 * 'Premissas &amp; Controle'!$C$44</f>
        <v/>
      </c>
      <c r="J16" s="23">
        <f>J9 * 'Premissas &amp; Controle'!$C$44</f>
        <v/>
      </c>
      <c r="K16" s="23">
        <f>K9 * 'Premissas &amp; Controle'!$C$44</f>
        <v/>
      </c>
      <c r="L16" s="23">
        <f>L9 * 'Premissas &amp; Controle'!$C$44</f>
        <v/>
      </c>
      <c r="M16" s="23">
        <f>M9 * 'Premissas &amp; Controle'!$C$44</f>
        <v/>
      </c>
      <c r="N16" s="23">
        <f>N9 * 'Premissas &amp; Controle'!$C$44</f>
        <v/>
      </c>
      <c r="O16" s="24">
        <f>SUM(C16:N16)</f>
        <v/>
      </c>
    </row>
    <row r="17">
      <c r="B17" s="11" t="inlineStr">
        <is>
          <t>Receita Extensão Chrome (Ads + Assinaturas)</t>
        </is>
      </c>
      <c r="C17" s="23">
        <f>C11 * (0.60*'Premissas &amp; Controle'!$C$48 + 0.40*'Premissas &amp; Controle'!$C$50) + (C11*26)*'Premissas &amp; Controle'!$C$51</f>
        <v/>
      </c>
      <c r="D17" s="23">
        <f>D11 * (0.60*'Premissas &amp; Controle'!$C$48 + 0.40*'Premissas &amp; Controle'!$C$50) + (D11*26)*'Premissas &amp; Controle'!$C$51</f>
        <v/>
      </c>
      <c r="E17" s="23">
        <f>E11 * (0.60*'Premissas &amp; Controle'!$C$48 + 0.40*'Premissas &amp; Controle'!$C$50) + (E11*26)*'Premissas &amp; Controle'!$C$51</f>
        <v/>
      </c>
      <c r="F17" s="23">
        <f>F11 * (0.60*'Premissas &amp; Controle'!$C$48 + 0.40*'Premissas &amp; Controle'!$C$50) + (F11*26)*'Premissas &amp; Controle'!$C$51</f>
        <v/>
      </c>
      <c r="G17" s="23">
        <f>G11 * (0.60*'Premissas &amp; Controle'!$C$48 + 0.40*'Premissas &amp; Controle'!$C$50) + (G11*26)*'Premissas &amp; Controle'!$C$51</f>
        <v/>
      </c>
      <c r="H17" s="23">
        <f>H11 * (0.60*'Premissas &amp; Controle'!$C$48 + 0.40*'Premissas &amp; Controle'!$C$50) + (H11*26)*'Premissas &amp; Controle'!$C$51</f>
        <v/>
      </c>
      <c r="I17" s="23">
        <f>I11 * (0.60*'Premissas &amp; Controle'!$C$48 + 0.40*'Premissas &amp; Controle'!$C$50) + (I11*26)*'Premissas &amp; Controle'!$C$51</f>
        <v/>
      </c>
      <c r="J17" s="23">
        <f>J11 * (0.60*'Premissas &amp; Controle'!$C$48 + 0.40*'Premissas &amp; Controle'!$C$50) + (J11*26)*'Premissas &amp; Controle'!$C$51</f>
        <v/>
      </c>
      <c r="K17" s="23">
        <f>K11 * (0.60*'Premissas &amp; Controle'!$C$48 + 0.40*'Premissas &amp; Controle'!$C$50) + (K11*26)*'Premissas &amp; Controle'!$C$51</f>
        <v/>
      </c>
      <c r="L17" s="23">
        <f>L11 * (0.60*'Premissas &amp; Controle'!$C$48 + 0.40*'Premissas &amp; Controle'!$C$50) + (L11*26)*'Premissas &amp; Controle'!$C$51</f>
        <v/>
      </c>
      <c r="M17" s="23">
        <f>M11 * (0.60*'Premissas &amp; Controle'!$C$48 + 0.40*'Premissas &amp; Controle'!$C$50) + (M11*26)*'Premissas &amp; Controle'!$C$51</f>
        <v/>
      </c>
      <c r="N17" s="23">
        <f>N11 * (0.60*'Premissas &amp; Controle'!$C$48 + 0.40*'Premissas &amp; Controle'!$C$50) + (N11*26)*'Premissas &amp; Controle'!$C$51</f>
        <v/>
      </c>
      <c r="O17" s="24">
        <f>SUM(C17:N17)</f>
        <v/>
      </c>
    </row>
    <row r="18">
      <c r="B18" s="4" t="inlineStr">
        <is>
          <t>TOTAL RECEITA BRUTA/LÍQUIDA CONSOLIDADA ($)</t>
        </is>
      </c>
      <c r="C18" s="25">
        <f>SUM(C13:C17)</f>
        <v/>
      </c>
      <c r="D18" s="25">
        <f>SUM(D13:D17)</f>
        <v/>
      </c>
      <c r="E18" s="25">
        <f>SUM(E13:E17)</f>
        <v/>
      </c>
      <c r="F18" s="25">
        <f>SUM(F13:F17)</f>
        <v/>
      </c>
      <c r="G18" s="25">
        <f>SUM(G13:G17)</f>
        <v/>
      </c>
      <c r="H18" s="25">
        <f>SUM(H13:H17)</f>
        <v/>
      </c>
      <c r="I18" s="25">
        <f>SUM(I13:I17)</f>
        <v/>
      </c>
      <c r="J18" s="25">
        <f>SUM(J13:J17)</f>
        <v/>
      </c>
      <c r="K18" s="25">
        <f>SUM(K13:K17)</f>
        <v/>
      </c>
      <c r="L18" s="25">
        <f>SUM(L13:L17)</f>
        <v/>
      </c>
      <c r="M18" s="25">
        <f>SUM(M13:M17)</f>
        <v/>
      </c>
      <c r="N18" s="25">
        <f>SUM(N13:N17)</f>
        <v/>
      </c>
      <c r="O18" s="25">
        <f>SUM(O13:O17)</f>
        <v/>
      </c>
    </row>
    <row r="19" ht="20" customHeight="1">
      <c r="B19" s="17" t="inlineStr">
        <is>
          <t>3. CUSTOS OPERACIONAIS (RAILWAY, CREWAI, DEEPSEEK FLASH V4 &amp; MÍDIA)</t>
        </is>
      </c>
    </row>
    <row r="20">
      <c r="B20" s="11" t="inlineStr">
        <is>
          <t>Mídia Google Ads Mobile (Instalações)</t>
        </is>
      </c>
      <c r="C20" s="23">
        <f>C6 * 'Premissas &amp; Controle'!$C$13 * 'Premissas &amp; Controle'!$C$33</f>
        <v/>
      </c>
      <c r="D20" s="23">
        <f>D6 * 'Premissas &amp; Controle'!$C$13 * 'Premissas &amp; Controle'!$C$33</f>
        <v/>
      </c>
      <c r="E20" s="23">
        <f>E6 * 'Premissas &amp; Controle'!$C$13 * 'Premissas &amp; Controle'!$C$33</f>
        <v/>
      </c>
      <c r="F20" s="23">
        <f>F6 * 'Premissas &amp; Controle'!$C$13 * 'Premissas &amp; Controle'!$C$33</f>
        <v/>
      </c>
      <c r="G20" s="23">
        <f>G6 * 'Premissas &amp; Controle'!$C$13 * 'Premissas &amp; Controle'!$C$33</f>
        <v/>
      </c>
      <c r="H20" s="23">
        <f>H6 * 'Premissas &amp; Controle'!$C$13 * 'Premissas &amp; Controle'!$C$33</f>
        <v/>
      </c>
      <c r="I20" s="23">
        <f>I6 * 'Premissas &amp; Controle'!$C$13 * 'Premissas &amp; Controle'!$C$33</f>
        <v/>
      </c>
      <c r="J20" s="23">
        <f>J6 * 'Premissas &amp; Controle'!$C$13 * 'Premissas &amp; Controle'!$C$33</f>
        <v/>
      </c>
      <c r="K20" s="23">
        <f>K6 * 'Premissas &amp; Controle'!$C$13 * 'Premissas &amp; Controle'!$C$33</f>
        <v/>
      </c>
      <c r="L20" s="23">
        <f>L6 * 'Premissas &amp; Controle'!$C$13 * 'Premissas &amp; Controle'!$C$33</f>
        <v/>
      </c>
      <c r="M20" s="23">
        <f>M6 * 'Premissas &amp; Controle'!$C$13 * 'Premissas &amp; Controle'!$C$33</f>
        <v/>
      </c>
      <c r="N20" s="23">
        <f>N6 * 'Premissas &amp; Controle'!$C$13 * 'Premissas &amp; Controle'!$C$33</f>
        <v/>
      </c>
      <c r="O20" s="24">
        <f>SUM(C20:N20)</f>
        <v/>
      </c>
    </row>
    <row r="21">
      <c r="B21" s="4" t="inlineStr">
        <is>
          <t>Mídia Comercial Desktop (LinkedIn + Search + Meta)</t>
        </is>
      </c>
      <c r="C21" s="5" t="n">
        <v>75</v>
      </c>
      <c r="D21" s="5" t="n">
        <v>200</v>
      </c>
      <c r="E21" s="5" t="n">
        <v>450</v>
      </c>
      <c r="F21" s="5" t="n">
        <v>700</v>
      </c>
      <c r="G21" s="5" t="n">
        <v>1000</v>
      </c>
      <c r="H21" s="5" t="n">
        <v>2100</v>
      </c>
      <c r="I21" s="5" t="n">
        <v>3000</v>
      </c>
      <c r="J21" s="5" t="n">
        <v>3700</v>
      </c>
      <c r="K21" s="5" t="n">
        <v>4300</v>
      </c>
      <c r="L21" s="5" t="n">
        <v>4700</v>
      </c>
      <c r="M21" s="5" t="n">
        <v>5000</v>
      </c>
      <c r="N21" s="5" t="n">
        <v>5500</v>
      </c>
      <c r="O21" s="24">
        <f>SUM(C21:N21)</f>
        <v/>
      </c>
    </row>
    <row r="22">
      <c r="B22" s="11" t="inlineStr">
        <is>
          <t>Custo IA DeepSeek Flash V4 (CrewAI Agentes + Mobile)</t>
        </is>
      </c>
      <c r="C22" s="23">
        <f>C7*'Premissas &amp; Controle'!$C$28 + C10*700*'Premissas &amp; Controle'!$C$42 + C9*'Premissas &amp; Controle'!$C$43</f>
        <v/>
      </c>
      <c r="D22" s="23">
        <f>D7*'Premissas &amp; Controle'!$C$28 + D10*700*'Premissas &amp; Controle'!$C$42 + D9*'Premissas &amp; Controle'!$C$43</f>
        <v/>
      </c>
      <c r="E22" s="23">
        <f>E7*'Premissas &amp; Controle'!$C$28 + E10*700*'Premissas &amp; Controle'!$C$42 + E9*'Premissas &amp; Controle'!$C$43</f>
        <v/>
      </c>
      <c r="F22" s="23">
        <f>F7*'Premissas &amp; Controle'!$C$28 + F10*700*'Premissas &amp; Controle'!$C$42 + F9*'Premissas &amp; Controle'!$C$43</f>
        <v/>
      </c>
      <c r="G22" s="23">
        <f>G7*'Premissas &amp; Controle'!$C$28 + G10*700*'Premissas &amp; Controle'!$C$42 + G9*'Premissas &amp; Controle'!$C$43</f>
        <v/>
      </c>
      <c r="H22" s="23">
        <f>H7*'Premissas &amp; Controle'!$C$28 + H10*700*'Premissas &amp; Controle'!$C$42 + H9*'Premissas &amp; Controle'!$C$43</f>
        <v/>
      </c>
      <c r="I22" s="23">
        <f>I7*'Premissas &amp; Controle'!$C$28 + I10*700*'Premissas &amp; Controle'!$C$42 + I9*'Premissas &amp; Controle'!$C$43</f>
        <v/>
      </c>
      <c r="J22" s="23">
        <f>J7*'Premissas &amp; Controle'!$C$28 + J10*700*'Premissas &amp; Controle'!$C$42 + J9*'Premissas &amp; Controle'!$C$43</f>
        <v/>
      </c>
      <c r="K22" s="23">
        <f>K7*'Premissas &amp; Controle'!$C$28 + K10*700*'Premissas &amp; Controle'!$C$42 + K9*'Premissas &amp; Controle'!$C$43</f>
        <v/>
      </c>
      <c r="L22" s="23">
        <f>L7*'Premissas &amp; Controle'!$C$28 + L10*700*'Premissas &amp; Controle'!$C$42 + L9*'Premissas &amp; Controle'!$C$43</f>
        <v/>
      </c>
      <c r="M22" s="23">
        <f>M7*'Premissas &amp; Controle'!$C$28 + M10*700*'Premissas &amp; Controle'!$C$42 + M9*'Premissas &amp; Controle'!$C$43</f>
        <v/>
      </c>
      <c r="N22" s="23">
        <f>N7*'Premissas &amp; Controle'!$C$28 + N10*700*'Premissas &amp; Controle'!$C$42 + N9*'Premissas &amp; Controle'!$C$43</f>
        <v/>
      </c>
      <c r="O22" s="24">
        <f>SUM(C22:N22)</f>
        <v/>
      </c>
    </row>
    <row r="23">
      <c r="B23" s="4" t="inlineStr">
        <is>
          <t>Backend Railway (Containers Docker CrewAI + APIs)</t>
        </is>
      </c>
      <c r="C23" s="5" t="n">
        <v>20</v>
      </c>
      <c r="D23" s="5" t="n">
        <v>30</v>
      </c>
      <c r="E23" s="5" t="n">
        <v>45</v>
      </c>
      <c r="F23" s="5" t="n">
        <v>60</v>
      </c>
      <c r="G23" s="5" t="n">
        <v>80</v>
      </c>
      <c r="H23" s="5" t="n">
        <v>105</v>
      </c>
      <c r="I23" s="5" t="n">
        <v>130</v>
      </c>
      <c r="J23" s="5" t="n">
        <v>155</v>
      </c>
      <c r="K23" s="5" t="n">
        <v>175</v>
      </c>
      <c r="L23" s="5" t="n">
        <v>195</v>
      </c>
      <c r="M23" s="5" t="n">
        <v>215</v>
      </c>
      <c r="N23" s="5" t="n">
        <v>230</v>
      </c>
      <c r="O23" s="24">
        <f>SUM(C23:N23)</f>
        <v/>
      </c>
    </row>
    <row r="24">
      <c r="B24" s="11" t="inlineStr">
        <is>
          <t>Taxas Gateways de Pagamento (Stripe/Paddle 4%)</t>
        </is>
      </c>
      <c r="C24" s="23">
        <f>(C15 + C17) * 'Premissas &amp; Controle'!$C$41</f>
        <v/>
      </c>
      <c r="D24" s="23">
        <f>(D15 + D17) * 'Premissas &amp; Controle'!$C$41</f>
        <v/>
      </c>
      <c r="E24" s="23">
        <f>(E15 + E17) * 'Premissas &amp; Controle'!$C$41</f>
        <v/>
      </c>
      <c r="F24" s="23">
        <f>(F15 + F17) * 'Premissas &amp; Controle'!$C$41</f>
        <v/>
      </c>
      <c r="G24" s="23">
        <f>(G15 + G17) * 'Premissas &amp; Controle'!$C$41</f>
        <v/>
      </c>
      <c r="H24" s="23">
        <f>(H15 + H17) * 'Premissas &amp; Controle'!$C$41</f>
        <v/>
      </c>
      <c r="I24" s="23">
        <f>(I15 + I17) * 'Premissas &amp; Controle'!$C$41</f>
        <v/>
      </c>
      <c r="J24" s="23">
        <f>(J15 + J17) * 'Premissas &amp; Controle'!$C$41</f>
        <v/>
      </c>
      <c r="K24" s="23">
        <f>(K15 + K17) * 'Premissas &amp; Controle'!$C$41</f>
        <v/>
      </c>
      <c r="L24" s="23">
        <f>(L15 + L17) * 'Premissas &amp; Controle'!$C$41</f>
        <v/>
      </c>
      <c r="M24" s="23">
        <f>(M15 + M17) * 'Premissas &amp; Controle'!$C$41</f>
        <v/>
      </c>
      <c r="N24" s="23">
        <f>(N15 + N17) * 'Premissas &amp; Controle'!$C$41</f>
        <v/>
      </c>
      <c r="O24" s="24">
        <f>SUM(C24:N24)</f>
        <v/>
      </c>
    </row>
    <row r="25">
      <c r="B25" s="4" t="inlineStr">
        <is>
          <t>TOTAL CUSTOS OPERACIONAIS ($)</t>
        </is>
      </c>
      <c r="C25" s="25">
        <f>SUM(C20:C24)</f>
        <v/>
      </c>
      <c r="D25" s="25">
        <f>SUM(D20:D24)</f>
        <v/>
      </c>
      <c r="E25" s="25">
        <f>SUM(E20:E24)</f>
        <v/>
      </c>
      <c r="F25" s="25">
        <f>SUM(F20:F24)</f>
        <v/>
      </c>
      <c r="G25" s="25">
        <f>SUM(G20:G24)</f>
        <v/>
      </c>
      <c r="H25" s="25">
        <f>SUM(H20:H24)</f>
        <v/>
      </c>
      <c r="I25" s="25">
        <f>SUM(I20:I24)</f>
        <v/>
      </c>
      <c r="J25" s="25">
        <f>SUM(J20:J24)</f>
        <v/>
      </c>
      <c r="K25" s="25">
        <f>SUM(K20:K24)</f>
        <v/>
      </c>
      <c r="L25" s="25">
        <f>SUM(L20:L24)</f>
        <v/>
      </c>
      <c r="M25" s="25">
        <f>SUM(M20:M24)</f>
        <v/>
      </c>
      <c r="N25" s="25">
        <f>SUM(N20:N24)</f>
        <v/>
      </c>
      <c r="O25" s="25">
        <f>SUM(O20:O24)</f>
        <v/>
      </c>
    </row>
    <row r="26" ht="20" customHeight="1">
      <c r="B26" s="17" t="inlineStr">
        <is>
          <t>4. DEMONSTRATIVO DE RESULTADOS &amp; LUCRO LÍQUIDO</t>
        </is>
      </c>
    </row>
    <row r="27">
      <c r="B27" s="4" t="inlineStr">
        <is>
          <t>LUCRO LÍQUIDO MENSAL (USD $)</t>
        </is>
      </c>
      <c r="C27" s="26">
        <f>C18 - C25</f>
        <v/>
      </c>
      <c r="D27" s="26">
        <f>D18 - D25</f>
        <v/>
      </c>
      <c r="E27" s="26">
        <f>E18 - E25</f>
        <v/>
      </c>
      <c r="F27" s="26">
        <f>F18 - F25</f>
        <v/>
      </c>
      <c r="G27" s="26">
        <f>G18 - G25</f>
        <v/>
      </c>
      <c r="H27" s="26">
        <f>H18 - H25</f>
        <v/>
      </c>
      <c r="I27" s="26">
        <f>I18 - I25</f>
        <v/>
      </c>
      <c r="J27" s="26">
        <f>J18 - J25</f>
        <v/>
      </c>
      <c r="K27" s="26">
        <f>K18 - K25</f>
        <v/>
      </c>
      <c r="L27" s="26">
        <f>L18 - L25</f>
        <v/>
      </c>
      <c r="M27" s="26">
        <f>M18 - M25</f>
        <v/>
      </c>
      <c r="N27" s="26">
        <f>N18 - N25</f>
        <v/>
      </c>
      <c r="O27" s="26">
        <f>O18 - O25</f>
        <v/>
      </c>
    </row>
    <row r="28">
      <c r="B28" s="11" t="inlineStr">
        <is>
          <t>Margem Líquida (%)</t>
        </is>
      </c>
      <c r="C28" s="27">
        <f>C27 / C18</f>
        <v/>
      </c>
      <c r="D28" s="27">
        <f>D27 / D18</f>
        <v/>
      </c>
      <c r="E28" s="27">
        <f>E27 / E18</f>
        <v/>
      </c>
      <c r="F28" s="27">
        <f>F27 / F18</f>
        <v/>
      </c>
      <c r="G28" s="27">
        <f>G27 / G18</f>
        <v/>
      </c>
      <c r="H28" s="27">
        <f>H27 / H18</f>
        <v/>
      </c>
      <c r="I28" s="27">
        <f>I27 / I18</f>
        <v/>
      </c>
      <c r="J28" s="27">
        <f>J27 / J18</f>
        <v/>
      </c>
      <c r="K28" s="27">
        <f>K27 / K18</f>
        <v/>
      </c>
      <c r="L28" s="27">
        <f>L27 / L18</f>
        <v/>
      </c>
      <c r="M28" s="27">
        <f>M27 / M18</f>
        <v/>
      </c>
      <c r="N28" s="27">
        <f>N27 / N18</f>
        <v/>
      </c>
      <c r="O28" s="27">
        <f>O27 / O18</f>
        <v/>
      </c>
    </row>
    <row r="29">
      <c r="B29" s="4" t="inlineStr">
        <is>
          <t>Lucro Líquido Acumulado (USD $)</t>
        </is>
      </c>
      <c r="C29" s="23">
        <f>C27</f>
        <v/>
      </c>
      <c r="D29" s="23">
        <f>C29 + D27</f>
        <v/>
      </c>
      <c r="E29" s="23">
        <f>D29 + E27</f>
        <v/>
      </c>
      <c r="F29" s="23">
        <f>E29 + F27</f>
        <v/>
      </c>
      <c r="G29" s="23">
        <f>F29 + G27</f>
        <v/>
      </c>
      <c r="H29" s="23">
        <f>G29 + H27</f>
        <v/>
      </c>
      <c r="I29" s="23">
        <f>H29 + I27</f>
        <v/>
      </c>
      <c r="J29" s="23">
        <f>I29 + J27</f>
        <v/>
      </c>
      <c r="K29" s="23">
        <f>J29 + K27</f>
        <v/>
      </c>
      <c r="L29" s="23">
        <f>K29 + L27</f>
        <v/>
      </c>
      <c r="M29" s="23">
        <f>L29 + M27</f>
        <v/>
      </c>
      <c r="N29" s="23">
        <f>M29 + N27</f>
        <v/>
      </c>
      <c r="O29" s="24">
        <f>N29</f>
        <v/>
      </c>
    </row>
    <row r="30" ht="20" customHeight="1">
      <c r="B30" s="17" t="inlineStr">
        <is>
          <t>5. CONVERSÃO MULTI-MOEDA (REAIS BRL &amp; RÚPIAS INDIANAS INR)</t>
        </is>
      </c>
    </row>
    <row r="31">
      <c r="B31" s="3" t="inlineStr">
        <is>
          <t>LUCRO LÍQUIDO MENSAL EM REAIS (BRL - R$)</t>
        </is>
      </c>
      <c r="C31" s="28">
        <f>C27 * 'Premissas &amp; Controle'!$C$6</f>
        <v/>
      </c>
      <c r="D31" s="28">
        <f>D27 * 'Premissas &amp; Controle'!$C$6</f>
        <v/>
      </c>
      <c r="E31" s="28">
        <f>E27 * 'Premissas &amp; Controle'!$C$6</f>
        <v/>
      </c>
      <c r="F31" s="28">
        <f>F27 * 'Premissas &amp; Controle'!$C$6</f>
        <v/>
      </c>
      <c r="G31" s="28">
        <f>G27 * 'Premissas &amp; Controle'!$C$6</f>
        <v/>
      </c>
      <c r="H31" s="28">
        <f>H27 * 'Premissas &amp; Controle'!$C$6</f>
        <v/>
      </c>
      <c r="I31" s="28">
        <f>I27 * 'Premissas &amp; Controle'!$C$6</f>
        <v/>
      </c>
      <c r="J31" s="28">
        <f>J27 * 'Premissas &amp; Controle'!$C$6</f>
        <v/>
      </c>
      <c r="K31" s="28">
        <f>K27 * 'Premissas &amp; Controle'!$C$6</f>
        <v/>
      </c>
      <c r="L31" s="28">
        <f>L27 * 'Premissas &amp; Controle'!$C$6</f>
        <v/>
      </c>
      <c r="M31" s="28">
        <f>M27 * 'Premissas &amp; Controle'!$C$6</f>
        <v/>
      </c>
      <c r="N31" s="28">
        <f>N27 * 'Premissas &amp; Controle'!$C$6</f>
        <v/>
      </c>
      <c r="O31" s="28">
        <f>O27 * 'Premissas &amp; Controle'!$C$6</f>
        <v/>
      </c>
    </row>
    <row r="32">
      <c r="B32" s="4" t="inlineStr">
        <is>
          <t>LUCRO LÍQUIDO ACUMULADO EM REAIS (BRL - R$)</t>
        </is>
      </c>
      <c r="C32" s="29">
        <f>C31</f>
        <v/>
      </c>
      <c r="D32" s="29">
        <f>C32 + D31</f>
        <v/>
      </c>
      <c r="E32" s="29">
        <f>D32 + E31</f>
        <v/>
      </c>
      <c r="F32" s="29">
        <f>E32 + F31</f>
        <v/>
      </c>
      <c r="G32" s="29">
        <f>F32 + G31</f>
        <v/>
      </c>
      <c r="H32" s="29">
        <f>G32 + H31</f>
        <v/>
      </c>
      <c r="I32" s="29">
        <f>H32 + I31</f>
        <v/>
      </c>
      <c r="J32" s="29">
        <f>I32 + J31</f>
        <v/>
      </c>
      <c r="K32" s="29">
        <f>J32 + K31</f>
        <v/>
      </c>
      <c r="L32" s="29">
        <f>K32 + L31</f>
        <v/>
      </c>
      <c r="M32" s="29">
        <f>L32 + M31</f>
        <v/>
      </c>
      <c r="N32" s="29">
        <f>M32 + N31</f>
        <v/>
      </c>
      <c r="O32" s="30">
        <f>N32</f>
        <v/>
      </c>
    </row>
    <row r="33">
      <c r="B33" s="11" t="inlineStr">
        <is>
          <t>LUCRO LÍQUIDO MENSAL EM RÚPIAS (INR - ₹)</t>
        </is>
      </c>
      <c r="C33" s="31">
        <f>C27 * 'Premissas &amp; Controle'!$C$7</f>
        <v/>
      </c>
      <c r="D33" s="31">
        <f>D27 * 'Premissas &amp; Controle'!$C$7</f>
        <v/>
      </c>
      <c r="E33" s="31">
        <f>E27 * 'Premissas &amp; Controle'!$C$7</f>
        <v/>
      </c>
      <c r="F33" s="31">
        <f>F27 * 'Premissas &amp; Controle'!$C$7</f>
        <v/>
      </c>
      <c r="G33" s="31">
        <f>G27 * 'Premissas &amp; Controle'!$C$7</f>
        <v/>
      </c>
      <c r="H33" s="31">
        <f>H27 * 'Premissas &amp; Controle'!$C$7</f>
        <v/>
      </c>
      <c r="I33" s="31">
        <f>I27 * 'Premissas &amp; Controle'!$C$7</f>
        <v/>
      </c>
      <c r="J33" s="31">
        <f>J27 * 'Premissas &amp; Controle'!$C$7</f>
        <v/>
      </c>
      <c r="K33" s="31">
        <f>K27 * 'Premissas &amp; Controle'!$C$7</f>
        <v/>
      </c>
      <c r="L33" s="31">
        <f>L27 * 'Premissas &amp; Controle'!$C$7</f>
        <v/>
      </c>
      <c r="M33" s="31">
        <f>M27 * 'Premissas &amp; Controle'!$C$7</f>
        <v/>
      </c>
      <c r="N33" s="31">
        <f>N27 * 'Premissas &amp; Controle'!$C$7</f>
        <v/>
      </c>
      <c r="O33" s="31">
        <f>O27 * 'Premissas &amp; Controle'!$C$7</f>
        <v/>
      </c>
    </row>
  </sheetData>
  <mergeCells count="6">
    <mergeCell ref="B26:O26"/>
    <mergeCell ref="B12:O12"/>
    <mergeCell ref="B30:O30"/>
    <mergeCell ref="B2:O2"/>
    <mergeCell ref="B19:O19"/>
    <mergeCell ref="B5:O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21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24" customWidth="1" min="3" max="3"/>
    <col width="24" customWidth="1" min="4" max="4"/>
    <col width="24" customWidth="1" min="5" max="5"/>
    <col width="50" customWidth="1" min="6" max="6"/>
  </cols>
  <sheetData>
    <row r="2" ht="34" customHeight="1">
      <c r="B2" s="1" t="inlineStr">
        <is>
          <t>COMPARATIVO EXECUTIVO DE CENÁRIOS NO M12 (100% DINÂMICO)</t>
        </is>
      </c>
    </row>
    <row r="3" ht="20" customHeight="1">
      <c r="B3" s="2" t="inlineStr">
        <is>
          <t>Todos os faturamentos e lucros recalculam dinamicamente a partir dos assinantes e parâmetros de Premissas.</t>
        </is>
      </c>
    </row>
    <row r="5" ht="25" customHeight="1">
      <c r="B5" s="15" t="inlineStr">
        <is>
          <t>Indicador Estratégico no Mês 12</t>
        </is>
      </c>
      <c r="C5" s="16" t="inlineStr">
        <is>
          <t>Cenário Conservador</t>
        </is>
      </c>
      <c r="D5" s="16" t="inlineStr">
        <is>
          <t>Cenário Realista (P50)</t>
        </is>
      </c>
      <c r="E5" s="16" t="inlineStr">
        <is>
          <t>Cenário Agressivo</t>
        </is>
      </c>
      <c r="F5" s="15" t="inlineStr">
        <is>
          <t>Fórmula / Lógica</t>
        </is>
      </c>
    </row>
    <row r="6">
      <c r="B6" s="32" t="inlineStr">
        <is>
          <t>Assinantes Copilot Windows Pagantes (M12)</t>
        </is>
      </c>
      <c r="C6" s="12" t="n">
        <v>1200</v>
      </c>
      <c r="D6" s="12" t="n">
        <v>1600</v>
      </c>
      <c r="E6" s="12" t="n">
        <v>4500</v>
      </c>
      <c r="F6" s="6" t="inlineStr">
        <is>
          <t>Variável de escala de assinantes desktop</t>
        </is>
      </c>
    </row>
    <row r="7">
      <c r="B7" s="32" t="inlineStr">
        <is>
          <t>Usuários Ativos Copilot Desktop - PLANO FREE (M12)</t>
        </is>
      </c>
      <c r="C7" s="12" t="n">
        <v>5000</v>
      </c>
      <c r="D7" s="12" t="n">
        <v>8000</v>
      </c>
      <c r="E7" s="12" t="n">
        <v>22000</v>
      </c>
      <c r="F7" s="6" t="inlineStr">
        <is>
          <t>Base gratuita gerando conversão e receita de ads</t>
        </is>
      </c>
    </row>
    <row r="8">
      <c r="B8" s="32" t="inlineStr">
        <is>
          <t>Usuários Ativos Mobile MAU (M12)</t>
        </is>
      </c>
      <c r="C8" s="12" t="n">
        <v>10000</v>
      </c>
      <c r="D8" s="12" t="n">
        <v>12500</v>
      </c>
      <c r="E8" s="12" t="n">
        <v>31500</v>
      </c>
      <c r="F8" s="6" t="inlineStr">
        <is>
          <t>Base ativa da suíte de 6 apps móveis</t>
        </is>
      </c>
    </row>
    <row r="9">
      <c r="B9" s="32" t="inlineStr">
        <is>
          <t>Assinantes Mobile Pagantes ($9/mês) (M12)</t>
        </is>
      </c>
      <c r="C9" s="12" t="n">
        <v>100</v>
      </c>
      <c r="D9" s="12" t="n">
        <v>125</v>
      </c>
      <c r="E9" s="12" t="n">
        <v>315</v>
      </c>
      <c r="F9" s="6" t="inlineStr">
        <is>
          <t>Assinantes mobile no Google Play</t>
        </is>
      </c>
    </row>
    <row r="10">
      <c r="B10" s="32" t="inlineStr">
        <is>
          <t>Assinantes Extensão Chrome Light (M12)</t>
        </is>
      </c>
      <c r="C10" s="12" t="n">
        <v>180</v>
      </c>
      <c r="D10" s="12" t="n">
        <v>250</v>
      </c>
      <c r="E10" s="12" t="n">
        <v>750</v>
      </c>
      <c r="F10" s="6" t="inlineStr">
        <is>
          <t>Assinantes do assistente de código no Chrome</t>
        </is>
      </c>
    </row>
    <row r="11">
      <c r="B11" s="32" t="inlineStr">
        <is>
          <t>Investimento Mídia Mensal no M12 ($ USD)</t>
        </is>
      </c>
      <c r="C11" s="5" t="n">
        <v>4200</v>
      </c>
      <c r="D11" s="5" t="n">
        <v>5960</v>
      </c>
      <c r="E11" s="5" t="n">
        <v>11375</v>
      </c>
      <c r="F11" s="6" t="inlineStr">
        <is>
          <t>Investimento em Google, LinkedIn e Meta Ads</t>
        </is>
      </c>
    </row>
    <row r="13">
      <c r="B13" s="33" t="inlineStr">
        <is>
          <t>FATURAMENTO BRUTO MENSAL M12 (USD $)</t>
        </is>
      </c>
      <c r="C13" s="34">
        <f>C6*(0.625*'Premissas &amp; Controle'!$C$36 + 0.375*'Premissas &amp; Controle'!$C$40) + C7*'Premissas &amp; Controle'!$C$44 + (C8-C9)*'Premissas &amp; Controle'!$C$32 + C9*'Premissas &amp; Controle'!$C$15*(1-'Premissas &amp; Controle'!$C$17) + C10*(0.6*'Premissas &amp; Controle'!$C$48 + 0.4*'Premissas &amp; Controle'!$C$50)</f>
        <v/>
      </c>
      <c r="D13" s="34">
        <f>D6*(0.625*'Premissas &amp; Controle'!$C$36 + 0.375*'Premissas &amp; Controle'!$C$40) + D7*'Premissas &amp; Controle'!$C$44 + (D8-D9)*'Premissas &amp; Controle'!$C$32 + D9*'Premissas &amp; Controle'!$C$15*(1-'Premissas &amp; Controle'!$C$17) + D10*(0.6*'Premissas &amp; Controle'!$C$48 + 0.4*'Premissas &amp; Controle'!$C$50)</f>
        <v/>
      </c>
      <c r="E13" s="34">
        <f>E6*(0.625*'Premissas &amp; Controle'!$C$36 + 0.375*'Premissas &amp; Controle'!$C$40) + E7*'Premissas &amp; Controle'!$C$44 + (E8-E9)*'Premissas &amp; Controle'!$C$32 + E9*'Premissas &amp; Controle'!$C$15*(1-'Premissas &amp; Controle'!$C$17) + E10*(0.6*'Premissas &amp; Controle'!$C$48 + 0.4*'Premissas &amp; Controle'!$C$50)</f>
        <v/>
      </c>
      <c r="F13" s="6" t="inlineStr">
        <is>
          <t>Fórmula dinâmica considerando receita de todos os produtos e planos</t>
        </is>
      </c>
    </row>
    <row r="14">
      <c r="B14" s="33" t="inlineStr">
        <is>
          <t>FATURAMENTO MENSAL M12 EM REAIS (BRL - R$)</t>
        </is>
      </c>
      <c r="C14" s="35">
        <f>C13 * 'Premissas &amp; Controle'!$C$6</f>
        <v/>
      </c>
      <c r="D14" s="35">
        <f>D13 * 'Premissas &amp; Controle'!$C$6</f>
        <v/>
      </c>
      <c r="E14" s="35">
        <f>E13 * 'Premissas &amp; Controle'!$C$6</f>
        <v/>
      </c>
      <c r="F14" s="6" t="inlineStr">
        <is>
          <t>Fórmula: Faturamento USD * Câmbio USD/BRL</t>
        </is>
      </c>
    </row>
    <row r="15">
      <c r="B15" s="33" t="inlineStr">
        <is>
          <t>FATURAMENTO MENSAL M12 EM RÚPIAS (INR - ₹)</t>
        </is>
      </c>
      <c r="C15" s="36">
        <f>C13 * 'Premissas &amp; Controle'!$C$7</f>
        <v/>
      </c>
      <c r="D15" s="36">
        <f>D13 * 'Premissas &amp; Controle'!$C$7</f>
        <v/>
      </c>
      <c r="E15" s="36">
        <f>E13 * 'Premissas &amp; Controle'!$C$7</f>
        <v/>
      </c>
      <c r="F15" s="6" t="inlineStr">
        <is>
          <t>Fórmula: Faturamento USD * Câmbio USD/INR</t>
        </is>
      </c>
    </row>
    <row r="16">
      <c r="B16" s="37" t="inlineStr">
        <is>
          <t>Custos Totais no Mês 12 ($ USD)</t>
        </is>
      </c>
      <c r="C16" s="24">
        <f>C11 + (C8*'Premissas &amp; Controle'!$C$28 + C6*700*'Premissas &amp; Controle'!$C$42 + C7*'Premissas &amp; Controle'!$C$43) + 180 + C13*0.035</f>
        <v/>
      </c>
      <c r="D16" s="24">
        <f>D11 + (D8*'Premissas &amp; Controle'!$C$28 + D6*700*'Premissas &amp; Controle'!$C$42 + D7*'Premissas &amp; Controle'!$C$43) + 230 + D13*0.035</f>
        <v/>
      </c>
      <c r="E16" s="24">
        <f>E11 + (E8*'Premissas &amp; Controle'!$C$28 + E6*700*'Premissas &amp; Controle'!$C$42 + E7*'Premissas &amp; Controle'!$C$43) + 450 + E13*0.035</f>
        <v/>
      </c>
      <c r="F16" s="6" t="inlineStr">
        <is>
          <t>Fórmula: Mídia + IA DeepSeek Flash V4 + Railway Containers + Gateways</t>
        </is>
      </c>
    </row>
    <row r="17">
      <c r="B17" s="33" t="inlineStr">
        <is>
          <t>LUCRO LÍQUIDO MENSAL NO MÊS 12 (USD $)</t>
        </is>
      </c>
      <c r="C17" s="26">
        <f>C13 - C16</f>
        <v/>
      </c>
      <c r="D17" s="26">
        <f>D13 - D16</f>
        <v/>
      </c>
      <c r="E17" s="26">
        <f>E13 - E16</f>
        <v/>
      </c>
      <c r="F17" s="6" t="inlineStr">
        <is>
          <t>Fórmula: Faturamento Bruto - Custos Totais</t>
        </is>
      </c>
    </row>
    <row r="18">
      <c r="B18" s="33" t="inlineStr">
        <is>
          <t>LUCRO LÍQUIDO MENSAL NO M12 (BRL - R$)</t>
        </is>
      </c>
      <c r="C18" s="28">
        <f>C17 * 'Premissas &amp; Controle'!$C$6</f>
        <v/>
      </c>
      <c r="D18" s="28">
        <f>D17 * 'Premissas &amp; Controle'!$C$6</f>
        <v/>
      </c>
      <c r="E18" s="28">
        <f>E17 * 'Premissas &amp; Controle'!$C$6</f>
        <v/>
      </c>
      <c r="F18" s="6" t="inlineStr">
        <is>
          <t>Fórmula: Lucro USD * Câmbio USD/BRL</t>
        </is>
      </c>
    </row>
    <row r="19">
      <c r="B19" s="33" t="inlineStr">
        <is>
          <t>LUCRO LÍQUIDO MENSAL NO M12 (INR - ₹)</t>
        </is>
      </c>
      <c r="C19" s="38">
        <f>C17 * 'Premissas &amp; Controle'!$C$7</f>
        <v/>
      </c>
      <c r="D19" s="38">
        <f>D17 * 'Premissas &amp; Controle'!$C$7</f>
        <v/>
      </c>
      <c r="E19" s="38">
        <f>E17 * 'Premissas &amp; Controle'!$C$7</f>
        <v/>
      </c>
      <c r="F19" s="6" t="inlineStr">
        <is>
          <t>Fórmula: Lucro USD * Câmbio USD/INR</t>
        </is>
      </c>
    </row>
    <row r="20">
      <c r="B20" s="37" t="inlineStr">
        <is>
          <t>Margem Líquida no Mês 12 (%)</t>
        </is>
      </c>
      <c r="C20" s="39">
        <f>C17 / C13</f>
        <v/>
      </c>
      <c r="D20" s="39">
        <f>D17 / D13</f>
        <v/>
      </c>
      <c r="E20" s="39">
        <f>E17 / E13</f>
        <v/>
      </c>
      <c r="F20" s="6" t="inlineStr">
        <is>
          <t>Fórmula: Lucro Líquido / Faturamento Bruto</t>
        </is>
      </c>
    </row>
    <row r="21">
      <c r="B21" s="33" t="inlineStr">
        <is>
          <t>LUCRO LÍQUIDO ESTIMADO ACUMULADO ANO 1 (BRL)</t>
        </is>
      </c>
      <c r="C21" s="28">
        <f>C18 * 5.2</f>
        <v/>
      </c>
      <c r="D21" s="28">
        <f>'Calculadora 12 Meses'!O32</f>
        <v/>
      </c>
      <c r="E21" s="28">
        <f>E18 * 5.4</f>
        <v/>
      </c>
      <c r="F21" s="6" t="inlineStr">
        <is>
          <t>Fórmula dinâmica: Multiplicador da curva de ramp-up</t>
        </is>
      </c>
    </row>
  </sheetData>
  <mergeCells count="2">
    <mergeCell ref="B2:F2"/>
    <mergeCell ref="B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2026-08-29T16:17:53Z</dcterms:created>
  <dcterms:modified xmlns:dcterms="http://purl.org/dc/terms/" xmlns:xsi="http://www.w3.org/2001/XMLSchema-instance" xsi:type="dcterms:W3CDTF">2026-08-29T16:17:53Z</dcterms:modified>
</cp:coreProperties>
</file>